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a-my.sharepoint.com/personal/dbor720_uoa_auckland_ac_nz/Documents/Documents/2026 TA SEM 1/394/Oratia data/"/>
    </mc:Choice>
  </mc:AlternateContent>
  <xr:revisionPtr revIDLastSave="361" documentId="8_{9DE7B477-7852-4A28-A49D-E27F614A0DA8}" xr6:coauthVersionLast="47" xr6:coauthVersionMax="47" xr10:uidLastSave="{A1697D12-1735-4477-9189-6C9CB0F00F46}"/>
  <bookViews>
    <workbookView xWindow="-90" yWindow="-16320" windowWidth="29040" windowHeight="15720" xr2:uid="{746AD0C6-C224-499F-95BE-6AC6B34E8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24" i="1"/>
</calcChain>
</file>

<file path=xl/sharedStrings.xml><?xml version="1.0" encoding="utf-8"?>
<sst xmlns="http://schemas.openxmlformats.org/spreadsheetml/2006/main" count="192" uniqueCount="124">
  <si>
    <t>Plot</t>
  </si>
  <si>
    <t>Distance</t>
  </si>
  <si>
    <t>Canopy Cover</t>
  </si>
  <si>
    <t>Slope</t>
  </si>
  <si>
    <t>Distance to nearest tree fern (m)</t>
  </si>
  <si>
    <t>Distance to nearest kauri over 10cm dbh (m)</t>
  </si>
  <si>
    <t>Tree fern litter %</t>
  </si>
  <si>
    <t>mean litter depth</t>
  </si>
  <si>
    <t>Mean topographic Index</t>
  </si>
  <si>
    <t>Total seedlings</t>
  </si>
  <si>
    <t>AGAaus</t>
  </si>
  <si>
    <t>ALSmac</t>
  </si>
  <si>
    <t>BEItaw</t>
  </si>
  <si>
    <t>BRAkir</t>
  </si>
  <si>
    <t>CARser</t>
  </si>
  <si>
    <t>COPgra</t>
  </si>
  <si>
    <t>COPluc</t>
  </si>
  <si>
    <t>COProb</t>
  </si>
  <si>
    <t>COPspa</t>
  </si>
  <si>
    <t>DACcup</t>
  </si>
  <si>
    <t>DACdac</t>
  </si>
  <si>
    <t>DIDspe</t>
  </si>
  <si>
    <t>ELAden</t>
  </si>
  <si>
    <t>GENlig</t>
  </si>
  <si>
    <t>HEDarb</t>
  </si>
  <si>
    <t>KNIexc</t>
  </si>
  <si>
    <t>KUNrob</t>
  </si>
  <si>
    <t>LAUnov</t>
  </si>
  <si>
    <t>LEUfas</t>
  </si>
  <si>
    <t>LITcal</t>
  </si>
  <si>
    <t>MANcol</t>
  </si>
  <si>
    <t>MELram</t>
  </si>
  <si>
    <t>MELter</t>
  </si>
  <si>
    <t>MIDsal</t>
  </si>
  <si>
    <t>MYRaus</t>
  </si>
  <si>
    <t>MYRsal</t>
  </si>
  <si>
    <t>NESlan</t>
  </si>
  <si>
    <t>OLEran</t>
  </si>
  <si>
    <t>PECfer</t>
  </si>
  <si>
    <t>PHYtri</t>
  </si>
  <si>
    <t>PITten</t>
  </si>
  <si>
    <t>PODtot</t>
  </si>
  <si>
    <t>PRUavi</t>
  </si>
  <si>
    <t>PSEcra</t>
  </si>
  <si>
    <t>PSEles</t>
  </si>
  <si>
    <t>RHAsol</t>
  </si>
  <si>
    <t>VERstr</t>
  </si>
  <si>
    <t>Lifeform</t>
  </si>
  <si>
    <t>Env</t>
  </si>
  <si>
    <t>Tree</t>
  </si>
  <si>
    <t>Shrub</t>
  </si>
  <si>
    <t>Count</t>
  </si>
  <si>
    <t>1_1_1</t>
  </si>
  <si>
    <t>1_1_2</t>
  </si>
  <si>
    <t>1_1_3</t>
  </si>
  <si>
    <t>1_1_4</t>
  </si>
  <si>
    <t>1_1_5</t>
  </si>
  <si>
    <t>1_1_6</t>
  </si>
  <si>
    <t>1_1_7</t>
  </si>
  <si>
    <t>1_1_8</t>
  </si>
  <si>
    <t>1_1_H</t>
  </si>
  <si>
    <t>High</t>
  </si>
  <si>
    <t>1_1_L</t>
  </si>
  <si>
    <t>Low</t>
  </si>
  <si>
    <t>1_2_1</t>
  </si>
  <si>
    <t>1_2_2</t>
  </si>
  <si>
    <t>1_2_3</t>
  </si>
  <si>
    <t>1_2_4</t>
  </si>
  <si>
    <t>1_2_5</t>
  </si>
  <si>
    <t>1_2_6</t>
  </si>
  <si>
    <t>1_2_7</t>
  </si>
  <si>
    <t>1_2_8</t>
  </si>
  <si>
    <t>1_2_H</t>
  </si>
  <si>
    <t>1_2_L</t>
  </si>
  <si>
    <t>1_3_1</t>
  </si>
  <si>
    <t>1_3_2</t>
  </si>
  <si>
    <t>1_3_3</t>
  </si>
  <si>
    <t>1_3_4</t>
  </si>
  <si>
    <t>1_3_5</t>
  </si>
  <si>
    <t>1_3_6</t>
  </si>
  <si>
    <t>1_3_7</t>
  </si>
  <si>
    <t>1_3_8</t>
  </si>
  <si>
    <t>1_3_H</t>
  </si>
  <si>
    <t>1_3_L</t>
  </si>
  <si>
    <t>1_4_1</t>
  </si>
  <si>
    <t>1_4_2</t>
  </si>
  <si>
    <t>1_4_3</t>
  </si>
  <si>
    <t>1_4_4</t>
  </si>
  <si>
    <t>1_4_5</t>
  </si>
  <si>
    <t>1_4_6</t>
  </si>
  <si>
    <t>1_4_7</t>
  </si>
  <si>
    <t>1_4_8</t>
  </si>
  <si>
    <t>1_4_H</t>
  </si>
  <si>
    <t>1_4_L</t>
  </si>
  <si>
    <t>1_5_1</t>
  </si>
  <si>
    <t>1_5_2</t>
  </si>
  <si>
    <t>1_5_3</t>
  </si>
  <si>
    <t>1_5_4</t>
  </si>
  <si>
    <t>1_5_5</t>
  </si>
  <si>
    <t>1_5_6</t>
  </si>
  <si>
    <t>1_5_7</t>
  </si>
  <si>
    <t>1_5_8</t>
  </si>
  <si>
    <t>1_5_H</t>
  </si>
  <si>
    <t>1_5_L</t>
  </si>
  <si>
    <t>1_6_1</t>
  </si>
  <si>
    <t>1_6_2</t>
  </si>
  <si>
    <t>1_6_3</t>
  </si>
  <si>
    <t>1_6_4</t>
  </si>
  <si>
    <t>1_6_5</t>
  </si>
  <si>
    <t>1_6_6</t>
  </si>
  <si>
    <t>1_6_7</t>
  </si>
  <si>
    <t>1_6_8</t>
  </si>
  <si>
    <t>1_6_H</t>
  </si>
  <si>
    <t>1_6_L</t>
  </si>
  <si>
    <t>HALkir</t>
  </si>
  <si>
    <t>COParb</t>
  </si>
  <si>
    <t>PSEarb</t>
  </si>
  <si>
    <t>PRUfer</t>
  </si>
  <si>
    <t>SYZaus</t>
  </si>
  <si>
    <t>RHOsap</t>
  </si>
  <si>
    <t>RIPsca</t>
  </si>
  <si>
    <t>Vine</t>
  </si>
  <si>
    <t>CORlae</t>
  </si>
  <si>
    <t>LIGluc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</si>
</sst>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29ECE-E5BD-4B36-9A19-E75BBA8FDE51}">
  <dimension ref="A1:BD63"/>
  <sheetViews>
    <sheetView tabSelected="1" workbookViewId="0">
      <pane ySplit="1" topLeftCell="A2" activePane="bottomLeft" state="frozen"/>
      <selection pane="bottomLeft" activeCell="F16" sqref="F16"/>
    </sheetView>
  </sheetViews>
  <sheetFormatPr defaultColWidth="8.77734375" defaultRowHeight="14.4" x14ac:dyDescent="0.3"/>
  <cols>
    <col min="1" max="1" width="10.109375" customWidth="1"/>
    <col min="2" max="2" width="8.21875" bestFit="1" customWidth="1"/>
    <col min="3" max="3" width="12.21875" bestFit="1" customWidth="1"/>
    <col min="5" max="5" width="28.33203125" bestFit="1" customWidth="1"/>
    <col min="6" max="6" width="38.77734375" bestFit="1" customWidth="1"/>
    <col min="7" max="7" width="14.44140625" bestFit="1" customWidth="1"/>
    <col min="8" max="8" width="15.21875" bestFit="1" customWidth="1"/>
    <col min="9" max="9" width="21.5546875" bestFit="1" customWidth="1"/>
    <col min="10" max="10" width="13.77734375" bestFit="1" customWidth="1"/>
    <col min="53" max="54" width="8.77734375" customWidth="1"/>
  </cols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115</v>
      </c>
      <c r="Q1" t="s">
        <v>15</v>
      </c>
      <c r="R1" t="s">
        <v>16</v>
      </c>
      <c r="S1" t="s">
        <v>17</v>
      </c>
      <c r="T1" t="s">
        <v>18</v>
      </c>
      <c r="U1" t="s">
        <v>122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114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123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117</v>
      </c>
      <c r="AW1" t="s">
        <v>116</v>
      </c>
      <c r="AX1" t="s">
        <v>43</v>
      </c>
      <c r="AY1" t="s">
        <v>44</v>
      </c>
      <c r="AZ1" t="s">
        <v>45</v>
      </c>
      <c r="BA1" t="s">
        <v>119</v>
      </c>
      <c r="BB1" t="s">
        <v>120</v>
      </c>
      <c r="BC1" t="s">
        <v>118</v>
      </c>
      <c r="BD1" t="s">
        <v>46</v>
      </c>
    </row>
    <row r="2" spans="1:56" x14ac:dyDescent="0.3">
      <c r="A2" t="s">
        <v>47</v>
      </c>
      <c r="B2" t="s">
        <v>48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48</v>
      </c>
      <c r="I2" t="s">
        <v>48</v>
      </c>
      <c r="J2" t="s">
        <v>48</v>
      </c>
      <c r="K2" t="s">
        <v>49</v>
      </c>
      <c r="L2" t="s">
        <v>50</v>
      </c>
      <c r="M2" t="s">
        <v>49</v>
      </c>
      <c r="N2" t="s">
        <v>50</v>
      </c>
      <c r="O2" t="s">
        <v>49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50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50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50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  <c r="AX2" t="s">
        <v>49</v>
      </c>
      <c r="AY2" t="s">
        <v>49</v>
      </c>
      <c r="AZ2" t="s">
        <v>50</v>
      </c>
      <c r="BA2" t="s">
        <v>49</v>
      </c>
      <c r="BB2" t="s">
        <v>121</v>
      </c>
      <c r="BC2" t="s">
        <v>49</v>
      </c>
      <c r="BD2" t="s">
        <v>50</v>
      </c>
    </row>
    <row r="3" spans="1:56" x14ac:dyDescent="0.3">
      <c r="A3" t="s">
        <v>51</v>
      </c>
      <c r="B3" t="s">
        <v>48</v>
      </c>
      <c r="C3" t="s">
        <v>48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>
        <f>SUM(K4:K63)</f>
        <v>26</v>
      </c>
      <c r="L3">
        <f t="shared" ref="L3:BD3" si="0">SUM(L4:L63)</f>
        <v>6</v>
      </c>
      <c r="M3">
        <f t="shared" si="0"/>
        <v>0</v>
      </c>
      <c r="N3">
        <f t="shared" si="0"/>
        <v>0</v>
      </c>
      <c r="O3">
        <f t="shared" si="0"/>
        <v>1</v>
      </c>
      <c r="P3">
        <f t="shared" si="0"/>
        <v>98</v>
      </c>
      <c r="Q3">
        <f t="shared" si="0"/>
        <v>6</v>
      </c>
      <c r="R3">
        <f t="shared" si="0"/>
        <v>75</v>
      </c>
      <c r="S3">
        <f t="shared" si="0"/>
        <v>0</v>
      </c>
      <c r="T3">
        <f t="shared" si="0"/>
        <v>321</v>
      </c>
      <c r="U3">
        <f t="shared" si="0"/>
        <v>2</v>
      </c>
      <c r="V3">
        <f t="shared" si="0"/>
        <v>1</v>
      </c>
      <c r="W3">
        <f t="shared" si="0"/>
        <v>24</v>
      </c>
      <c r="X3">
        <f t="shared" si="0"/>
        <v>1</v>
      </c>
      <c r="Y3">
        <f t="shared" si="0"/>
        <v>3</v>
      </c>
      <c r="Z3">
        <f t="shared" si="0"/>
        <v>29</v>
      </c>
      <c r="AA3">
        <f t="shared" si="0"/>
        <v>8</v>
      </c>
      <c r="AB3">
        <f t="shared" si="0"/>
        <v>120</v>
      </c>
      <c r="AC3">
        <f t="shared" si="0"/>
        <v>5</v>
      </c>
      <c r="AD3">
        <f t="shared" si="0"/>
        <v>0</v>
      </c>
      <c r="AE3">
        <f t="shared" si="0"/>
        <v>0</v>
      </c>
      <c r="AF3">
        <f t="shared" si="0"/>
        <v>14</v>
      </c>
      <c r="AG3">
        <f t="shared" si="0"/>
        <v>1</v>
      </c>
      <c r="AH3">
        <f t="shared" si="0"/>
        <v>0</v>
      </c>
      <c r="AI3">
        <f t="shared" si="0"/>
        <v>0</v>
      </c>
      <c r="AJ3">
        <f t="shared" si="0"/>
        <v>4</v>
      </c>
      <c r="AK3">
        <f t="shared" si="0"/>
        <v>0</v>
      </c>
      <c r="AL3">
        <f t="shared" si="0"/>
        <v>2</v>
      </c>
      <c r="AM3">
        <f t="shared" si="0"/>
        <v>36</v>
      </c>
      <c r="AN3">
        <f t="shared" si="0"/>
        <v>17</v>
      </c>
      <c r="AO3">
        <f t="shared" si="0"/>
        <v>15</v>
      </c>
      <c r="AP3">
        <f t="shared" si="0"/>
        <v>0</v>
      </c>
      <c r="AQ3">
        <f t="shared" si="0"/>
        <v>6</v>
      </c>
      <c r="AR3">
        <f t="shared" si="0"/>
        <v>8</v>
      </c>
      <c r="AS3">
        <f t="shared" si="0"/>
        <v>1</v>
      </c>
      <c r="AT3">
        <f t="shared" si="0"/>
        <v>17</v>
      </c>
      <c r="AU3">
        <f t="shared" si="0"/>
        <v>0</v>
      </c>
      <c r="AV3">
        <f t="shared" si="0"/>
        <v>17</v>
      </c>
      <c r="AW3">
        <f t="shared" si="0"/>
        <v>6</v>
      </c>
      <c r="AX3">
        <f t="shared" si="0"/>
        <v>10</v>
      </c>
      <c r="AY3">
        <f t="shared" si="0"/>
        <v>1</v>
      </c>
      <c r="AZ3">
        <f t="shared" si="0"/>
        <v>0</v>
      </c>
      <c r="BA3">
        <f t="shared" si="0"/>
        <v>4</v>
      </c>
      <c r="BB3">
        <f t="shared" si="0"/>
        <v>7</v>
      </c>
      <c r="BC3">
        <f t="shared" si="0"/>
        <v>1</v>
      </c>
      <c r="BD3">
        <f t="shared" si="0"/>
        <v>0</v>
      </c>
    </row>
    <row r="4" spans="1:56" x14ac:dyDescent="0.3">
      <c r="A4" t="s">
        <v>52</v>
      </c>
      <c r="B4">
        <v>4</v>
      </c>
      <c r="C4">
        <v>70</v>
      </c>
      <c r="D4">
        <v>19</v>
      </c>
      <c r="E4">
        <v>2.72</v>
      </c>
      <c r="F4">
        <v>2.5</v>
      </c>
      <c r="G4">
        <v>30</v>
      </c>
      <c r="H4">
        <v>4.1500000000000004</v>
      </c>
      <c r="I4">
        <v>0.25</v>
      </c>
      <c r="J4">
        <f t="shared" ref="J4:J23" si="1">SUM(K4:BE4)</f>
        <v>10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5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1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3">
      <c r="A5" t="s">
        <v>53</v>
      </c>
      <c r="B5">
        <v>10</v>
      </c>
      <c r="C5">
        <v>75</v>
      </c>
      <c r="D5">
        <v>13</v>
      </c>
      <c r="E5">
        <v>3.56</v>
      </c>
      <c r="F5">
        <v>0.77</v>
      </c>
      <c r="G5">
        <v>35</v>
      </c>
      <c r="H5">
        <v>4.6500000000000004</v>
      </c>
      <c r="I5">
        <v>4.625</v>
      </c>
      <c r="J5">
        <f t="shared" si="1"/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3">
      <c r="A6" t="s">
        <v>54</v>
      </c>
      <c r="B6">
        <v>18</v>
      </c>
      <c r="C6">
        <v>60</v>
      </c>
      <c r="D6">
        <v>12</v>
      </c>
      <c r="E6">
        <v>3.02</v>
      </c>
      <c r="F6">
        <v>2.34</v>
      </c>
      <c r="G6">
        <v>5</v>
      </c>
      <c r="H6">
        <v>2.7</v>
      </c>
      <c r="I6">
        <v>-0.375</v>
      </c>
      <c r="J6">
        <f t="shared" si="1"/>
        <v>10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3">
      <c r="A7" t="s">
        <v>55</v>
      </c>
      <c r="B7">
        <v>23</v>
      </c>
      <c r="C7">
        <v>70</v>
      </c>
      <c r="D7">
        <v>18</v>
      </c>
      <c r="E7">
        <v>3.17</v>
      </c>
      <c r="F7">
        <v>3.33</v>
      </c>
      <c r="G7">
        <v>0</v>
      </c>
      <c r="H7">
        <v>1.25</v>
      </c>
      <c r="I7">
        <v>0.75</v>
      </c>
      <c r="J7">
        <f t="shared" si="1"/>
        <v>31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5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6</v>
      </c>
      <c r="AB7">
        <v>4</v>
      </c>
      <c r="AC7">
        <v>0</v>
      </c>
      <c r="AD7">
        <v>0</v>
      </c>
      <c r="AE7">
        <v>0</v>
      </c>
      <c r="AF7">
        <v>4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3</v>
      </c>
      <c r="AS7">
        <v>0</v>
      </c>
      <c r="AT7">
        <v>1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3">
      <c r="A8" t="s">
        <v>56</v>
      </c>
      <c r="B8">
        <v>60</v>
      </c>
      <c r="C8">
        <v>55</v>
      </c>
      <c r="D8">
        <v>30</v>
      </c>
      <c r="E8">
        <v>0.35</v>
      </c>
      <c r="F8">
        <v>11.2</v>
      </c>
      <c r="G8">
        <v>55</v>
      </c>
      <c r="H8">
        <v>2.67</v>
      </c>
      <c r="I8">
        <v>8</v>
      </c>
      <c r="J8">
        <f t="shared" si="1"/>
        <v>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7</v>
      </c>
      <c r="U8">
        <v>0</v>
      </c>
      <c r="V8">
        <v>0</v>
      </c>
      <c r="W8">
        <v>0</v>
      </c>
      <c r="X8">
        <v>0</v>
      </c>
      <c r="Y8">
        <v>0</v>
      </c>
      <c r="Z8">
        <v>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3">
      <c r="A9" t="s">
        <v>57</v>
      </c>
      <c r="B9">
        <v>74</v>
      </c>
      <c r="C9">
        <v>65</v>
      </c>
      <c r="D9">
        <v>12</v>
      </c>
      <c r="E9">
        <v>0.86</v>
      </c>
      <c r="F9">
        <v>5.63</v>
      </c>
      <c r="G9">
        <v>40</v>
      </c>
      <c r="H9">
        <v>2</v>
      </c>
      <c r="I9">
        <v>13.375</v>
      </c>
      <c r="J9">
        <f t="shared" si="1"/>
        <v>24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10</v>
      </c>
      <c r="U9">
        <v>0</v>
      </c>
      <c r="V9">
        <v>0</v>
      </c>
      <c r="W9">
        <v>0</v>
      </c>
      <c r="X9">
        <v>0</v>
      </c>
      <c r="Y9">
        <v>0</v>
      </c>
      <c r="Z9">
        <v>5</v>
      </c>
      <c r="AA9">
        <v>0</v>
      </c>
      <c r="AB9">
        <v>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1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3">
      <c r="A10" t="s">
        <v>58</v>
      </c>
      <c r="B10">
        <v>80</v>
      </c>
      <c r="C10">
        <v>55</v>
      </c>
      <c r="D10">
        <v>18</v>
      </c>
      <c r="E10">
        <v>1.04</v>
      </c>
      <c r="F10">
        <v>5.57</v>
      </c>
      <c r="G10">
        <v>45</v>
      </c>
      <c r="H10">
        <v>2.7</v>
      </c>
      <c r="I10">
        <v>11.5</v>
      </c>
      <c r="J10">
        <f t="shared" si="1"/>
        <v>28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7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</v>
      </c>
      <c r="AN10">
        <v>2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5</v>
      </c>
      <c r="AU10">
        <v>0</v>
      </c>
      <c r="AV10">
        <v>4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3">
      <c r="A11" t="s">
        <v>59</v>
      </c>
      <c r="B11">
        <v>93</v>
      </c>
      <c r="C11">
        <v>75</v>
      </c>
      <c r="D11">
        <v>9</v>
      </c>
      <c r="E11">
        <v>0.87</v>
      </c>
      <c r="F11">
        <v>8.0500000000000007</v>
      </c>
      <c r="G11">
        <v>0</v>
      </c>
      <c r="H11">
        <v>3.95</v>
      </c>
      <c r="I11">
        <v>13.375</v>
      </c>
      <c r="J11">
        <f t="shared" si="1"/>
        <v>35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4</v>
      </c>
      <c r="S11">
        <v>0</v>
      </c>
      <c r="T11">
        <v>16</v>
      </c>
      <c r="U11">
        <v>0</v>
      </c>
      <c r="V11">
        <v>0</v>
      </c>
      <c r="W11">
        <v>2</v>
      </c>
      <c r="X11">
        <v>0</v>
      </c>
      <c r="Y11">
        <v>0</v>
      </c>
      <c r="Z11">
        <v>0</v>
      </c>
      <c r="AA11">
        <v>0</v>
      </c>
      <c r="AB11">
        <v>4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4</v>
      </c>
      <c r="AU11">
        <v>0</v>
      </c>
      <c r="AV11">
        <v>2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 spans="1:56" x14ac:dyDescent="0.3">
      <c r="A12" t="s">
        <v>60</v>
      </c>
      <c r="B12" t="s">
        <v>61</v>
      </c>
      <c r="C12">
        <v>10</v>
      </c>
      <c r="D12">
        <v>11</v>
      </c>
      <c r="E12">
        <v>2.78</v>
      </c>
      <c r="F12">
        <v>3.98</v>
      </c>
      <c r="G12">
        <v>25</v>
      </c>
      <c r="H12">
        <v>2.77</v>
      </c>
      <c r="I12">
        <v>6.25</v>
      </c>
      <c r="J12">
        <f t="shared" si="1"/>
        <v>21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15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</row>
    <row r="13" spans="1:56" x14ac:dyDescent="0.3">
      <c r="A13" t="s">
        <v>62</v>
      </c>
      <c r="B13" t="s">
        <v>63</v>
      </c>
      <c r="C13">
        <v>90</v>
      </c>
      <c r="D13">
        <v>19</v>
      </c>
      <c r="E13">
        <v>1.2</v>
      </c>
      <c r="F13">
        <v>4.5</v>
      </c>
      <c r="G13">
        <v>75</v>
      </c>
      <c r="H13">
        <v>10.25</v>
      </c>
      <c r="I13">
        <v>11.625</v>
      </c>
      <c r="J13">
        <f t="shared" si="1"/>
        <v>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 spans="1:56" x14ac:dyDescent="0.3">
      <c r="A14" t="s">
        <v>64</v>
      </c>
      <c r="B14">
        <v>12</v>
      </c>
      <c r="D14">
        <v>19</v>
      </c>
      <c r="E14">
        <v>3.5</v>
      </c>
      <c r="F14">
        <v>2.15</v>
      </c>
      <c r="G14">
        <v>0.5</v>
      </c>
      <c r="H14">
        <v>2.37</v>
      </c>
      <c r="I14">
        <v>20</v>
      </c>
      <c r="J14">
        <f t="shared" si="1"/>
        <v>23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</v>
      </c>
      <c r="S14">
        <v>0</v>
      </c>
      <c r="T14">
        <v>14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5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 spans="1:56" x14ac:dyDescent="0.3">
      <c r="A15" t="s">
        <v>65</v>
      </c>
      <c r="B15">
        <v>24</v>
      </c>
      <c r="D15">
        <v>21</v>
      </c>
      <c r="E15">
        <v>2.63</v>
      </c>
      <c r="F15">
        <v>0.24</v>
      </c>
      <c r="G15">
        <v>0.5</v>
      </c>
      <c r="H15">
        <v>3.75</v>
      </c>
      <c r="I15">
        <v>17.12</v>
      </c>
      <c r="J15">
        <f t="shared" si="1"/>
        <v>41</v>
      </c>
      <c r="K15">
        <v>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24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7</v>
      </c>
      <c r="AN15">
        <v>2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</row>
    <row r="16" spans="1:56" x14ac:dyDescent="0.3">
      <c r="A16" t="s">
        <v>66</v>
      </c>
      <c r="B16">
        <v>34</v>
      </c>
      <c r="D16">
        <v>23</v>
      </c>
      <c r="E16">
        <v>2.9</v>
      </c>
      <c r="F16">
        <v>1.7</v>
      </c>
      <c r="G16">
        <v>0</v>
      </c>
      <c r="H16">
        <v>3.75</v>
      </c>
      <c r="I16">
        <v>7</v>
      </c>
      <c r="J16">
        <f t="shared" si="1"/>
        <v>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</row>
    <row r="17" spans="1:56" x14ac:dyDescent="0.3">
      <c r="A17" t="s">
        <v>67</v>
      </c>
      <c r="B17">
        <v>41</v>
      </c>
      <c r="D17">
        <v>18</v>
      </c>
      <c r="E17">
        <v>0.64</v>
      </c>
      <c r="F17">
        <v>5.0999999999999996</v>
      </c>
      <c r="G17">
        <v>30</v>
      </c>
      <c r="H17">
        <v>3.5</v>
      </c>
      <c r="I17">
        <v>9.8699999999999992</v>
      </c>
      <c r="J17">
        <f t="shared" si="1"/>
        <v>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</row>
    <row r="18" spans="1:56" x14ac:dyDescent="0.3">
      <c r="A18" t="s">
        <v>68</v>
      </c>
      <c r="B18">
        <v>62</v>
      </c>
      <c r="D18">
        <v>15</v>
      </c>
      <c r="E18">
        <v>1.45</v>
      </c>
      <c r="F18">
        <v>2.4</v>
      </c>
      <c r="G18">
        <v>15</v>
      </c>
      <c r="H18">
        <v>3.25</v>
      </c>
      <c r="I18">
        <v>10.6</v>
      </c>
      <c r="J18">
        <f t="shared" si="1"/>
        <v>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</row>
    <row r="19" spans="1:56" x14ac:dyDescent="0.3">
      <c r="A19" t="s">
        <v>69</v>
      </c>
      <c r="B19">
        <v>74</v>
      </c>
      <c r="D19">
        <v>14</v>
      </c>
      <c r="E19">
        <v>1.7</v>
      </c>
      <c r="F19">
        <v>2.1</v>
      </c>
      <c r="G19">
        <v>40</v>
      </c>
      <c r="H19">
        <v>5.25</v>
      </c>
      <c r="I19">
        <v>10.25</v>
      </c>
      <c r="J19">
        <f t="shared" si="1"/>
        <v>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 spans="1:56" x14ac:dyDescent="0.3">
      <c r="A20" t="s">
        <v>70</v>
      </c>
      <c r="B20">
        <v>92</v>
      </c>
      <c r="D20">
        <v>18</v>
      </c>
      <c r="E20">
        <v>2.2999999999999998</v>
      </c>
      <c r="F20">
        <v>6.7</v>
      </c>
      <c r="G20">
        <v>5</v>
      </c>
      <c r="H20">
        <v>1.31</v>
      </c>
      <c r="I20">
        <v>9.1300000000000008</v>
      </c>
      <c r="J20">
        <f t="shared" si="1"/>
        <v>10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0</v>
      </c>
      <c r="S20">
        <v>0</v>
      </c>
      <c r="T20">
        <v>4</v>
      </c>
      <c r="U20">
        <v>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2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 x14ac:dyDescent="0.3">
      <c r="A21" t="s">
        <v>71</v>
      </c>
      <c r="B21">
        <v>100</v>
      </c>
      <c r="D21">
        <v>13</v>
      </c>
      <c r="E21">
        <v>1.1599999999999999</v>
      </c>
      <c r="F21">
        <v>14.1</v>
      </c>
      <c r="G21">
        <v>30</v>
      </c>
      <c r="H21">
        <v>2.2999999999999998</v>
      </c>
      <c r="I21">
        <v>10.75</v>
      </c>
      <c r="J21">
        <f t="shared" si="1"/>
        <v>15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</v>
      </c>
      <c r="S21">
        <v>0</v>
      </c>
      <c r="T21">
        <v>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5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</row>
    <row r="22" spans="1:56" x14ac:dyDescent="0.3">
      <c r="A22" t="s">
        <v>72</v>
      </c>
      <c r="B22" t="s">
        <v>61</v>
      </c>
      <c r="D22">
        <v>15</v>
      </c>
      <c r="E22">
        <v>1.08</v>
      </c>
      <c r="F22">
        <v>5.26</v>
      </c>
      <c r="G22">
        <v>60</v>
      </c>
      <c r="H22">
        <v>3</v>
      </c>
      <c r="I22">
        <v>7.25</v>
      </c>
      <c r="J22">
        <f t="shared" si="1"/>
        <v>40</v>
      </c>
      <c r="K22">
        <v>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32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</row>
    <row r="23" spans="1:56" x14ac:dyDescent="0.3">
      <c r="A23" t="s">
        <v>73</v>
      </c>
      <c r="B23" t="s">
        <v>63</v>
      </c>
      <c r="D23">
        <v>16</v>
      </c>
      <c r="E23">
        <v>2.4300000000000002</v>
      </c>
      <c r="F23">
        <v>3.35</v>
      </c>
      <c r="G23">
        <v>5</v>
      </c>
      <c r="H23">
        <v>1</v>
      </c>
      <c r="I23">
        <v>11.63</v>
      </c>
      <c r="J23">
        <f t="shared" si="1"/>
        <v>10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8</v>
      </c>
      <c r="U23">
        <v>0</v>
      </c>
      <c r="V23">
        <v>0</v>
      </c>
      <c r="W23">
        <v>0</v>
      </c>
      <c r="X23">
        <v>0</v>
      </c>
      <c r="Y23">
        <v>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</row>
    <row r="24" spans="1:56" x14ac:dyDescent="0.3">
      <c r="A24" t="s">
        <v>74</v>
      </c>
      <c r="B24">
        <v>3</v>
      </c>
      <c r="C24">
        <v>60</v>
      </c>
      <c r="D24">
        <v>13</v>
      </c>
      <c r="E24">
        <v>5.5</v>
      </c>
      <c r="F24">
        <v>1.7</v>
      </c>
      <c r="G24">
        <v>10</v>
      </c>
      <c r="H24">
        <v>2.5</v>
      </c>
      <c r="I24">
        <v>12.875</v>
      </c>
      <c r="J24">
        <f t="shared" ref="J24:J63" si="2">SUM(K24:BE24)</f>
        <v>10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8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 spans="1:56" x14ac:dyDescent="0.3">
      <c r="A25" t="s">
        <v>75</v>
      </c>
      <c r="B25">
        <v>13</v>
      </c>
      <c r="C25">
        <v>75</v>
      </c>
      <c r="D25">
        <v>10</v>
      </c>
      <c r="E25">
        <v>6.4</v>
      </c>
      <c r="F25">
        <v>1.7</v>
      </c>
      <c r="G25">
        <v>0</v>
      </c>
      <c r="H25">
        <v>2.125</v>
      </c>
      <c r="I25">
        <v>12.75</v>
      </c>
      <c r="J25">
        <f t="shared" si="2"/>
        <v>33</v>
      </c>
      <c r="K25">
        <v>1</v>
      </c>
      <c r="L25">
        <v>0</v>
      </c>
      <c r="M25">
        <v>0</v>
      </c>
      <c r="N25">
        <v>0</v>
      </c>
      <c r="O25">
        <v>0</v>
      </c>
      <c r="P25">
        <v>4</v>
      </c>
      <c r="Q25">
        <v>0</v>
      </c>
      <c r="R25">
        <v>11</v>
      </c>
      <c r="S25">
        <v>0</v>
      </c>
      <c r="T25">
        <v>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5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1</v>
      </c>
      <c r="AX25">
        <v>2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</row>
    <row r="26" spans="1:56" x14ac:dyDescent="0.3">
      <c r="A26" t="s">
        <v>76</v>
      </c>
      <c r="B26">
        <v>31</v>
      </c>
      <c r="C26">
        <v>78</v>
      </c>
      <c r="D26">
        <v>22</v>
      </c>
      <c r="E26">
        <v>1.49</v>
      </c>
      <c r="F26">
        <v>6.9</v>
      </c>
      <c r="G26">
        <v>10</v>
      </c>
      <c r="H26">
        <v>3.625</v>
      </c>
      <c r="I26">
        <v>11</v>
      </c>
      <c r="J26">
        <f t="shared" si="2"/>
        <v>4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</row>
    <row r="27" spans="1:56" x14ac:dyDescent="0.3">
      <c r="A27" t="s">
        <v>77</v>
      </c>
      <c r="B27">
        <v>44</v>
      </c>
      <c r="C27">
        <v>90</v>
      </c>
      <c r="D27">
        <v>15</v>
      </c>
      <c r="E27">
        <v>1.27</v>
      </c>
      <c r="F27">
        <v>3.4</v>
      </c>
      <c r="G27">
        <v>7</v>
      </c>
      <c r="H27">
        <v>2</v>
      </c>
      <c r="I27">
        <v>10.375</v>
      </c>
      <c r="J27">
        <f t="shared" si="2"/>
        <v>21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3</v>
      </c>
      <c r="S27">
        <v>0</v>
      </c>
      <c r="T27">
        <v>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7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3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2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</row>
    <row r="28" spans="1:56" x14ac:dyDescent="0.3">
      <c r="A28" t="s">
        <v>78</v>
      </c>
      <c r="B28">
        <v>52</v>
      </c>
      <c r="C28">
        <v>90</v>
      </c>
      <c r="D28">
        <v>19</v>
      </c>
      <c r="E28">
        <v>1.2</v>
      </c>
      <c r="F28">
        <v>3.6</v>
      </c>
      <c r="G28">
        <v>20</v>
      </c>
      <c r="H28">
        <v>6</v>
      </c>
      <c r="I28">
        <v>8.375</v>
      </c>
      <c r="J28">
        <f t="shared" si="2"/>
        <v>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3</v>
      </c>
      <c r="BB28">
        <v>2</v>
      </c>
      <c r="BC28">
        <v>0</v>
      </c>
      <c r="BD28">
        <v>0</v>
      </c>
    </row>
    <row r="29" spans="1:56" x14ac:dyDescent="0.3">
      <c r="A29" t="s">
        <v>79</v>
      </c>
      <c r="B29">
        <v>63</v>
      </c>
      <c r="C29">
        <v>90</v>
      </c>
      <c r="D29">
        <v>15</v>
      </c>
      <c r="E29">
        <v>0.9</v>
      </c>
      <c r="F29">
        <v>3.2</v>
      </c>
      <c r="G29">
        <v>90</v>
      </c>
      <c r="H29">
        <v>6</v>
      </c>
      <c r="I29">
        <v>7.375</v>
      </c>
      <c r="J29">
        <f t="shared" si="2"/>
        <v>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2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</row>
    <row r="30" spans="1:56" x14ac:dyDescent="0.3">
      <c r="A30" t="s">
        <v>80</v>
      </c>
      <c r="B30">
        <v>85</v>
      </c>
      <c r="C30">
        <v>80</v>
      </c>
      <c r="D30">
        <v>30</v>
      </c>
      <c r="E30">
        <v>1.1000000000000001</v>
      </c>
      <c r="F30">
        <v>4.04</v>
      </c>
      <c r="G30">
        <v>35</v>
      </c>
      <c r="H30">
        <v>3.25</v>
      </c>
      <c r="I30">
        <v>6.25</v>
      </c>
      <c r="J30">
        <f t="shared" si="2"/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</row>
    <row r="31" spans="1:56" x14ac:dyDescent="0.3">
      <c r="A31" t="s">
        <v>81</v>
      </c>
      <c r="B31">
        <v>92</v>
      </c>
      <c r="C31">
        <v>75</v>
      </c>
      <c r="D31">
        <v>45</v>
      </c>
      <c r="E31">
        <v>2.2000000000000002</v>
      </c>
      <c r="F31">
        <v>1.4</v>
      </c>
      <c r="G31">
        <v>8</v>
      </c>
      <c r="H31">
        <v>2</v>
      </c>
      <c r="I31">
        <v>6.25</v>
      </c>
      <c r="J31">
        <f t="shared" si="2"/>
        <v>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2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</row>
    <row r="32" spans="1:56" x14ac:dyDescent="0.3">
      <c r="A32" t="s">
        <v>82</v>
      </c>
      <c r="B32" t="s">
        <v>61</v>
      </c>
      <c r="C32">
        <v>95</v>
      </c>
      <c r="D32">
        <v>21</v>
      </c>
      <c r="E32">
        <v>2.0699999999999998</v>
      </c>
      <c r="F32">
        <v>5</v>
      </c>
      <c r="G32">
        <v>0</v>
      </c>
      <c r="H32">
        <v>0.5</v>
      </c>
      <c r="I32">
        <v>7.75</v>
      </c>
      <c r="J32">
        <f t="shared" si="2"/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</row>
    <row r="33" spans="1:56" x14ac:dyDescent="0.3">
      <c r="A33" t="s">
        <v>83</v>
      </c>
      <c r="B33" t="s">
        <v>63</v>
      </c>
      <c r="C33">
        <v>10</v>
      </c>
      <c r="D33">
        <v>18</v>
      </c>
      <c r="E33">
        <v>3.1</v>
      </c>
      <c r="F33">
        <v>4.4000000000000004</v>
      </c>
      <c r="G33">
        <v>25</v>
      </c>
      <c r="H33">
        <v>2</v>
      </c>
      <c r="I33">
        <v>21.625</v>
      </c>
      <c r="J33">
        <f t="shared" si="2"/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</row>
    <row r="34" spans="1:56" x14ac:dyDescent="0.3">
      <c r="A34" t="s">
        <v>84</v>
      </c>
      <c r="B34">
        <v>6</v>
      </c>
      <c r="D34">
        <v>5</v>
      </c>
      <c r="E34">
        <v>3</v>
      </c>
      <c r="F34">
        <v>1.79</v>
      </c>
      <c r="G34">
        <v>5</v>
      </c>
      <c r="H34">
        <v>3.5</v>
      </c>
      <c r="I34">
        <v>7.375</v>
      </c>
      <c r="J34">
        <f t="shared" si="2"/>
        <v>72</v>
      </c>
      <c r="K34">
        <v>0</v>
      </c>
      <c r="L34">
        <v>0</v>
      </c>
      <c r="M34">
        <v>0</v>
      </c>
      <c r="N34">
        <v>0</v>
      </c>
      <c r="O34">
        <v>0</v>
      </c>
      <c r="P34">
        <v>45</v>
      </c>
      <c r="Q34">
        <v>0</v>
      </c>
      <c r="R34">
        <v>0</v>
      </c>
      <c r="S34">
        <v>0</v>
      </c>
      <c r="T34">
        <v>22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5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</row>
    <row r="35" spans="1:56" x14ac:dyDescent="0.3">
      <c r="A35" t="s">
        <v>85</v>
      </c>
      <c r="B35">
        <v>23</v>
      </c>
      <c r="D35">
        <v>6</v>
      </c>
      <c r="E35">
        <v>0.8</v>
      </c>
      <c r="F35">
        <v>3.84</v>
      </c>
      <c r="G35">
        <v>35</v>
      </c>
      <c r="H35">
        <v>2.25</v>
      </c>
      <c r="I35">
        <v>9.75</v>
      </c>
      <c r="J35">
        <f t="shared" si="2"/>
        <v>13</v>
      </c>
      <c r="K35">
        <v>0</v>
      </c>
      <c r="L35">
        <v>0</v>
      </c>
      <c r="M35">
        <v>0</v>
      </c>
      <c r="N35">
        <v>0</v>
      </c>
      <c r="O35">
        <v>0</v>
      </c>
      <c r="P35">
        <v>4</v>
      </c>
      <c r="Q35">
        <v>0</v>
      </c>
      <c r="R35">
        <v>0</v>
      </c>
      <c r="S35">
        <v>0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2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 x14ac:dyDescent="0.3">
      <c r="A36" t="s">
        <v>86</v>
      </c>
      <c r="B36">
        <v>38</v>
      </c>
      <c r="D36">
        <v>15</v>
      </c>
      <c r="E36">
        <v>1.96</v>
      </c>
      <c r="F36">
        <v>1.38</v>
      </c>
      <c r="G36">
        <v>20</v>
      </c>
      <c r="H36">
        <v>4.5</v>
      </c>
      <c r="I36">
        <v>12.375</v>
      </c>
      <c r="J36">
        <f t="shared" si="2"/>
        <v>8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0</v>
      </c>
      <c r="R36">
        <v>0</v>
      </c>
      <c r="S36">
        <v>0</v>
      </c>
      <c r="T36">
        <v>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</row>
    <row r="37" spans="1:56" x14ac:dyDescent="0.3">
      <c r="A37" t="s">
        <v>87</v>
      </c>
      <c r="B37">
        <v>49</v>
      </c>
      <c r="D37">
        <v>13</v>
      </c>
      <c r="E37">
        <v>3.5</v>
      </c>
      <c r="F37">
        <v>1.2</v>
      </c>
      <c r="G37">
        <v>1</v>
      </c>
      <c r="H37">
        <v>3.25</v>
      </c>
      <c r="I37">
        <v>11.125</v>
      </c>
      <c r="J37">
        <f t="shared" si="2"/>
        <v>28</v>
      </c>
      <c r="K37">
        <v>0</v>
      </c>
      <c r="L37">
        <v>6</v>
      </c>
      <c r="M37">
        <v>0</v>
      </c>
      <c r="N37">
        <v>0</v>
      </c>
      <c r="O37">
        <v>0</v>
      </c>
      <c r="P37">
        <v>5</v>
      </c>
      <c r="Q37">
        <v>0</v>
      </c>
      <c r="R37">
        <v>0</v>
      </c>
      <c r="S37">
        <v>0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7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</row>
    <row r="38" spans="1:56" x14ac:dyDescent="0.3">
      <c r="A38" t="s">
        <v>88</v>
      </c>
      <c r="B38">
        <v>57</v>
      </c>
      <c r="D38">
        <v>14</v>
      </c>
      <c r="E38">
        <v>0.53</v>
      </c>
      <c r="F38">
        <v>1.97</v>
      </c>
      <c r="G38">
        <v>40</v>
      </c>
      <c r="H38">
        <v>3.25</v>
      </c>
      <c r="I38">
        <v>15.25</v>
      </c>
      <c r="J38">
        <f t="shared" si="2"/>
        <v>12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9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</row>
    <row r="39" spans="1:56" x14ac:dyDescent="0.3">
      <c r="A39" t="s">
        <v>89</v>
      </c>
      <c r="B39">
        <v>77</v>
      </c>
      <c r="D39">
        <v>15</v>
      </c>
      <c r="E39">
        <v>1.68</v>
      </c>
      <c r="F39">
        <v>7.25</v>
      </c>
      <c r="G39">
        <v>55</v>
      </c>
      <c r="H39">
        <v>2.75</v>
      </c>
      <c r="I39">
        <v>16.625</v>
      </c>
      <c r="J39">
        <f t="shared" si="2"/>
        <v>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3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</row>
    <row r="40" spans="1:56" x14ac:dyDescent="0.3">
      <c r="A40" t="s">
        <v>90</v>
      </c>
      <c r="B40">
        <v>91</v>
      </c>
      <c r="D40">
        <v>5</v>
      </c>
      <c r="E40">
        <v>1.32</v>
      </c>
      <c r="F40">
        <v>3</v>
      </c>
      <c r="G40">
        <v>5</v>
      </c>
      <c r="H40">
        <v>2.25</v>
      </c>
      <c r="I40">
        <v>14.25</v>
      </c>
      <c r="J40">
        <f t="shared" si="2"/>
        <v>13</v>
      </c>
      <c r="K40">
        <v>1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</v>
      </c>
      <c r="X40">
        <v>0</v>
      </c>
      <c r="Y40">
        <v>0</v>
      </c>
      <c r="Z40">
        <v>0</v>
      </c>
      <c r="AA40">
        <v>0</v>
      </c>
      <c r="AB40">
        <v>3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2</v>
      </c>
      <c r="BC40">
        <v>0</v>
      </c>
      <c r="BD40">
        <v>0</v>
      </c>
    </row>
    <row r="41" spans="1:56" x14ac:dyDescent="0.3">
      <c r="A41" t="s">
        <v>91</v>
      </c>
      <c r="B41">
        <v>99</v>
      </c>
      <c r="D41">
        <v>10</v>
      </c>
      <c r="E41">
        <v>0.45</v>
      </c>
      <c r="F41">
        <v>6</v>
      </c>
      <c r="G41">
        <v>70</v>
      </c>
      <c r="H41">
        <v>14.5</v>
      </c>
      <c r="I41">
        <v>19.75</v>
      </c>
      <c r="J41">
        <f t="shared" si="2"/>
        <v>7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3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</row>
    <row r="42" spans="1:56" x14ac:dyDescent="0.3">
      <c r="A42" t="s">
        <v>92</v>
      </c>
      <c r="B42" t="s">
        <v>61</v>
      </c>
      <c r="D42">
        <v>10</v>
      </c>
      <c r="E42">
        <v>2.2000000000000002</v>
      </c>
      <c r="F42">
        <v>3.73</v>
      </c>
      <c r="G42">
        <v>2</v>
      </c>
      <c r="H42">
        <v>1.5</v>
      </c>
      <c r="I42">
        <v>15.5</v>
      </c>
      <c r="J42">
        <f t="shared" si="2"/>
        <v>10</v>
      </c>
      <c r="K42">
        <v>0</v>
      </c>
      <c r="L42">
        <v>0</v>
      </c>
      <c r="M42">
        <v>0</v>
      </c>
      <c r="N42">
        <v>0</v>
      </c>
      <c r="O42">
        <v>0</v>
      </c>
      <c r="P42">
        <v>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4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 x14ac:dyDescent="0.3">
      <c r="A43" t="s">
        <v>93</v>
      </c>
      <c r="B43" t="s">
        <v>63</v>
      </c>
      <c r="D43">
        <v>10</v>
      </c>
      <c r="E43">
        <v>0.48</v>
      </c>
      <c r="F43">
        <v>2.86</v>
      </c>
      <c r="G43">
        <v>40</v>
      </c>
      <c r="H43">
        <v>5</v>
      </c>
      <c r="I43">
        <v>15.62</v>
      </c>
      <c r="J43">
        <f t="shared" si="2"/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</row>
    <row r="44" spans="1:56" x14ac:dyDescent="0.3">
      <c r="A44" t="s">
        <v>94</v>
      </c>
      <c r="B44">
        <v>4</v>
      </c>
      <c r="C44">
        <v>80</v>
      </c>
      <c r="D44">
        <v>10</v>
      </c>
      <c r="E44">
        <v>0.87</v>
      </c>
      <c r="F44">
        <v>1.86</v>
      </c>
      <c r="G44">
        <v>40</v>
      </c>
      <c r="H44">
        <v>2.9</v>
      </c>
      <c r="I44">
        <v>5.75</v>
      </c>
      <c r="J44">
        <f t="shared" si="2"/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</row>
    <row r="45" spans="1:56" x14ac:dyDescent="0.3">
      <c r="A45" t="s">
        <v>95</v>
      </c>
      <c r="B45">
        <v>10</v>
      </c>
      <c r="C45">
        <v>100</v>
      </c>
      <c r="D45">
        <v>12.5</v>
      </c>
      <c r="E45">
        <v>0.83</v>
      </c>
      <c r="F45">
        <v>7.69</v>
      </c>
      <c r="G45">
        <v>100</v>
      </c>
      <c r="H45">
        <v>10.6</v>
      </c>
      <c r="I45">
        <v>1.18</v>
      </c>
      <c r="J45">
        <f t="shared" si="2"/>
        <v>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</row>
    <row r="46" spans="1:56" x14ac:dyDescent="0.3">
      <c r="A46" t="s">
        <v>96</v>
      </c>
      <c r="B46">
        <v>16</v>
      </c>
      <c r="C46">
        <v>80</v>
      </c>
      <c r="D46">
        <v>15</v>
      </c>
      <c r="E46">
        <v>2.4500000000000002</v>
      </c>
      <c r="F46">
        <v>6.43</v>
      </c>
      <c r="G46">
        <v>30</v>
      </c>
      <c r="H46">
        <v>4.0999999999999996</v>
      </c>
      <c r="I46">
        <v>5.81</v>
      </c>
      <c r="J46">
        <f t="shared" si="2"/>
        <v>10</v>
      </c>
      <c r="K46">
        <v>0</v>
      </c>
      <c r="L46">
        <v>0</v>
      </c>
      <c r="M46">
        <v>0</v>
      </c>
      <c r="N46">
        <v>0</v>
      </c>
      <c r="O46">
        <v>0</v>
      </c>
      <c r="P46">
        <v>3</v>
      </c>
      <c r="Q46">
        <v>0</v>
      </c>
      <c r="R46">
        <v>1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</row>
    <row r="47" spans="1:56" x14ac:dyDescent="0.3">
      <c r="A47" t="s">
        <v>97</v>
      </c>
      <c r="B47">
        <v>29</v>
      </c>
      <c r="C47">
        <v>85</v>
      </c>
      <c r="D47">
        <v>17</v>
      </c>
      <c r="E47">
        <v>3.3</v>
      </c>
      <c r="F47">
        <v>1.1000000000000001</v>
      </c>
      <c r="G47">
        <v>7</v>
      </c>
      <c r="H47">
        <v>4.3</v>
      </c>
      <c r="I47">
        <v>10.5</v>
      </c>
      <c r="J47">
        <f t="shared" si="2"/>
        <v>19</v>
      </c>
      <c r="K47">
        <v>2</v>
      </c>
      <c r="L47">
        <v>0</v>
      </c>
      <c r="M47">
        <v>0</v>
      </c>
      <c r="N47">
        <v>0</v>
      </c>
      <c r="O47">
        <v>0</v>
      </c>
      <c r="P47">
        <v>6</v>
      </c>
      <c r="Q47">
        <v>0</v>
      </c>
      <c r="R47">
        <v>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3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  <row r="48" spans="1:56" x14ac:dyDescent="0.3">
      <c r="A48" t="s">
        <v>98</v>
      </c>
      <c r="B48">
        <v>52</v>
      </c>
      <c r="C48">
        <v>80</v>
      </c>
      <c r="D48">
        <v>17</v>
      </c>
      <c r="E48">
        <v>0.81</v>
      </c>
      <c r="F48">
        <v>2.2999999999999998</v>
      </c>
      <c r="G48">
        <v>50</v>
      </c>
      <c r="H48">
        <v>4</v>
      </c>
      <c r="I48">
        <v>10</v>
      </c>
      <c r="J48">
        <f t="shared" si="2"/>
        <v>14</v>
      </c>
      <c r="K48">
        <v>2</v>
      </c>
      <c r="L48">
        <v>0</v>
      </c>
      <c r="M48">
        <v>0</v>
      </c>
      <c r="N48">
        <v>0</v>
      </c>
      <c r="O48">
        <v>0</v>
      </c>
      <c r="P48">
        <v>4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2</v>
      </c>
      <c r="AA48">
        <v>0</v>
      </c>
      <c r="AB48">
        <v>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</row>
    <row r="49" spans="1:56" x14ac:dyDescent="0.3">
      <c r="A49" t="s">
        <v>99</v>
      </c>
      <c r="B49">
        <v>57</v>
      </c>
      <c r="C49">
        <v>100</v>
      </c>
      <c r="D49">
        <v>27</v>
      </c>
      <c r="E49">
        <v>0.8</v>
      </c>
      <c r="F49">
        <v>1.9</v>
      </c>
      <c r="G49">
        <v>20</v>
      </c>
      <c r="H49">
        <v>4.0999999999999996</v>
      </c>
      <c r="I49">
        <v>9.5</v>
      </c>
      <c r="J49">
        <f t="shared" si="2"/>
        <v>8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</v>
      </c>
      <c r="X49">
        <v>0</v>
      </c>
      <c r="Y49">
        <v>0</v>
      </c>
      <c r="Z49">
        <v>0</v>
      </c>
      <c r="AA49">
        <v>0</v>
      </c>
      <c r="AB49">
        <v>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</row>
    <row r="50" spans="1:56" x14ac:dyDescent="0.3">
      <c r="A50" t="s">
        <v>100</v>
      </c>
      <c r="B50">
        <v>83</v>
      </c>
      <c r="C50">
        <v>50</v>
      </c>
      <c r="D50">
        <v>31</v>
      </c>
      <c r="E50">
        <v>1.59</v>
      </c>
      <c r="F50">
        <v>9</v>
      </c>
      <c r="G50">
        <v>3</v>
      </c>
      <c r="H50">
        <v>4</v>
      </c>
      <c r="I50">
        <v>23</v>
      </c>
      <c r="J50">
        <f t="shared" si="2"/>
        <v>35</v>
      </c>
      <c r="K50">
        <v>1</v>
      </c>
      <c r="L50">
        <v>0</v>
      </c>
      <c r="M50">
        <v>0</v>
      </c>
      <c r="N50">
        <v>0</v>
      </c>
      <c r="O50">
        <v>0</v>
      </c>
      <c r="P50">
        <v>12</v>
      </c>
      <c r="Q50">
        <v>0</v>
      </c>
      <c r="R50">
        <v>2</v>
      </c>
      <c r="S50">
        <v>0</v>
      </c>
      <c r="T50">
        <v>0</v>
      </c>
      <c r="U50">
        <v>0</v>
      </c>
      <c r="V50">
        <v>0</v>
      </c>
      <c r="W50">
        <v>3</v>
      </c>
      <c r="X50">
        <v>0</v>
      </c>
      <c r="Y50">
        <v>0</v>
      </c>
      <c r="Z50">
        <v>0</v>
      </c>
      <c r="AA50">
        <v>0</v>
      </c>
      <c r="AB50">
        <v>8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2</v>
      </c>
      <c r="AO50">
        <v>0</v>
      </c>
      <c r="AP50">
        <v>0</v>
      </c>
      <c r="AQ50">
        <v>0</v>
      </c>
      <c r="AR50">
        <v>3</v>
      </c>
      <c r="AS50">
        <v>0</v>
      </c>
      <c r="AT50">
        <v>0</v>
      </c>
      <c r="AU50">
        <v>0</v>
      </c>
      <c r="AV50">
        <v>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0</v>
      </c>
      <c r="BD50">
        <v>0</v>
      </c>
    </row>
    <row r="51" spans="1:56" x14ac:dyDescent="0.3">
      <c r="A51" t="s">
        <v>101</v>
      </c>
      <c r="B51">
        <v>91</v>
      </c>
      <c r="C51">
        <v>90</v>
      </c>
      <c r="D51">
        <v>15</v>
      </c>
      <c r="E51">
        <v>0.9</v>
      </c>
      <c r="F51">
        <v>9.5</v>
      </c>
      <c r="G51">
        <v>25</v>
      </c>
      <c r="H51">
        <v>3.6</v>
      </c>
      <c r="I51">
        <v>18.88</v>
      </c>
      <c r="J51">
        <f t="shared" si="2"/>
        <v>9</v>
      </c>
      <c r="K51">
        <v>1</v>
      </c>
      <c r="L51">
        <v>0</v>
      </c>
      <c r="M51">
        <v>0</v>
      </c>
      <c r="N51">
        <v>0</v>
      </c>
      <c r="O51">
        <v>0</v>
      </c>
      <c r="P51">
        <v>1</v>
      </c>
      <c r="Q51">
        <v>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</row>
    <row r="52" spans="1:56" x14ac:dyDescent="0.3">
      <c r="A52" t="s">
        <v>102</v>
      </c>
      <c r="B52" t="s">
        <v>61</v>
      </c>
      <c r="C52">
        <v>40</v>
      </c>
      <c r="D52">
        <v>9</v>
      </c>
      <c r="E52">
        <v>2</v>
      </c>
      <c r="F52">
        <v>7</v>
      </c>
      <c r="G52">
        <v>10</v>
      </c>
      <c r="H52">
        <v>2</v>
      </c>
      <c r="I52">
        <v>15.75</v>
      </c>
      <c r="J52">
        <f t="shared" si="2"/>
        <v>9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5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6" x14ac:dyDescent="0.3">
      <c r="A53" t="s">
        <v>103</v>
      </c>
      <c r="B53" t="s">
        <v>63</v>
      </c>
      <c r="C53">
        <v>85</v>
      </c>
      <c r="D53">
        <v>15</v>
      </c>
      <c r="E53">
        <v>2.13</v>
      </c>
      <c r="F53">
        <v>5</v>
      </c>
      <c r="G53">
        <v>0</v>
      </c>
      <c r="H53">
        <v>1</v>
      </c>
      <c r="I53">
        <v>10.38</v>
      </c>
      <c r="J53">
        <f t="shared" si="2"/>
        <v>19</v>
      </c>
      <c r="K53">
        <v>3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</v>
      </c>
      <c r="AA53">
        <v>0</v>
      </c>
      <c r="AB53">
        <v>8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3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</row>
    <row r="54" spans="1:56" x14ac:dyDescent="0.3">
      <c r="A54" t="s">
        <v>104</v>
      </c>
      <c r="C54">
        <v>80</v>
      </c>
      <c r="D54">
        <v>10</v>
      </c>
      <c r="E54">
        <v>2.6</v>
      </c>
      <c r="F54">
        <v>6.8</v>
      </c>
      <c r="G54">
        <v>0</v>
      </c>
      <c r="H54">
        <v>3.25</v>
      </c>
      <c r="I54">
        <v>11.25</v>
      </c>
      <c r="J54">
        <f t="shared" si="2"/>
        <v>29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26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5" spans="1:56" x14ac:dyDescent="0.3">
      <c r="A55" t="s">
        <v>105</v>
      </c>
      <c r="C55">
        <v>75</v>
      </c>
      <c r="D55">
        <v>33</v>
      </c>
      <c r="E55">
        <v>2.8</v>
      </c>
      <c r="G55">
        <v>20</v>
      </c>
      <c r="H55">
        <v>2.25</v>
      </c>
      <c r="I55">
        <v>13.63</v>
      </c>
      <c r="J55">
        <f t="shared" si="2"/>
        <v>32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13</v>
      </c>
      <c r="S55">
        <v>0</v>
      </c>
      <c r="T55">
        <v>9</v>
      </c>
      <c r="U55">
        <v>0</v>
      </c>
      <c r="V55">
        <v>0</v>
      </c>
      <c r="W55">
        <v>0</v>
      </c>
      <c r="X55">
        <v>0</v>
      </c>
      <c r="Y55">
        <v>0</v>
      </c>
      <c r="Z55">
        <v>7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</row>
    <row r="56" spans="1:56" x14ac:dyDescent="0.3">
      <c r="A56" t="s">
        <v>106</v>
      </c>
      <c r="C56">
        <v>80</v>
      </c>
      <c r="D56">
        <v>20</v>
      </c>
      <c r="E56">
        <v>3.79</v>
      </c>
      <c r="G56">
        <v>10</v>
      </c>
      <c r="H56">
        <v>3</v>
      </c>
      <c r="I56">
        <v>18.25</v>
      </c>
      <c r="J56">
        <f t="shared" si="2"/>
        <v>15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12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</row>
    <row r="57" spans="1:56" x14ac:dyDescent="0.3">
      <c r="A57" t="s">
        <v>107</v>
      </c>
      <c r="C57">
        <v>72</v>
      </c>
      <c r="D57">
        <v>20</v>
      </c>
      <c r="E57">
        <v>0.82</v>
      </c>
      <c r="G57">
        <v>92</v>
      </c>
      <c r="H57">
        <v>5</v>
      </c>
      <c r="I57">
        <v>17.5</v>
      </c>
      <c r="J57">
        <f t="shared" si="2"/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</row>
    <row r="58" spans="1:56" x14ac:dyDescent="0.3">
      <c r="A58" t="s">
        <v>108</v>
      </c>
      <c r="C58">
        <v>70</v>
      </c>
      <c r="D58">
        <v>10</v>
      </c>
      <c r="E58">
        <v>2.93</v>
      </c>
      <c r="G58">
        <v>0</v>
      </c>
      <c r="H58">
        <v>5</v>
      </c>
      <c r="I58">
        <v>22.75</v>
      </c>
      <c r="J58">
        <f t="shared" si="2"/>
        <v>13</v>
      </c>
      <c r="K58">
        <v>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</v>
      </c>
      <c r="S58">
        <v>0</v>
      </c>
      <c r="T58">
        <v>3</v>
      </c>
      <c r="U58">
        <v>0</v>
      </c>
      <c r="V58">
        <v>0</v>
      </c>
      <c r="W58">
        <v>3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1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</row>
    <row r="59" spans="1:56" x14ac:dyDescent="0.3">
      <c r="A59" t="s">
        <v>109</v>
      </c>
      <c r="C59">
        <v>65</v>
      </c>
      <c r="D59">
        <v>10</v>
      </c>
      <c r="E59">
        <v>2.83</v>
      </c>
      <c r="G59">
        <v>0</v>
      </c>
      <c r="H59">
        <v>3.5</v>
      </c>
      <c r="I59">
        <v>11.88</v>
      </c>
      <c r="J59">
        <f t="shared" si="2"/>
        <v>13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</v>
      </c>
      <c r="S59">
        <v>0</v>
      </c>
      <c r="T59">
        <v>3</v>
      </c>
      <c r="U59">
        <v>0</v>
      </c>
      <c r="V59">
        <v>0</v>
      </c>
      <c r="W59">
        <v>4</v>
      </c>
      <c r="X59">
        <v>0</v>
      </c>
      <c r="Y59">
        <v>0</v>
      </c>
      <c r="Z59">
        <v>1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0</v>
      </c>
    </row>
    <row r="60" spans="1:56" x14ac:dyDescent="0.3">
      <c r="A60" t="s">
        <v>110</v>
      </c>
      <c r="C60">
        <v>65</v>
      </c>
      <c r="D60">
        <v>15</v>
      </c>
      <c r="E60">
        <v>4.29</v>
      </c>
      <c r="G60">
        <v>0</v>
      </c>
      <c r="H60">
        <v>4.25</v>
      </c>
      <c r="I60">
        <v>11.75</v>
      </c>
      <c r="J60">
        <f t="shared" si="2"/>
        <v>15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4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</row>
    <row r="61" spans="1:56" x14ac:dyDescent="0.3">
      <c r="A61" t="s">
        <v>111</v>
      </c>
      <c r="C61">
        <v>85</v>
      </c>
      <c r="D61">
        <v>13</v>
      </c>
      <c r="E61">
        <v>1.57</v>
      </c>
      <c r="G61">
        <v>10</v>
      </c>
      <c r="H61">
        <v>3.5</v>
      </c>
      <c r="I61">
        <v>14.75</v>
      </c>
      <c r="J61">
        <f t="shared" si="2"/>
        <v>24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</v>
      </c>
      <c r="S61">
        <v>0</v>
      </c>
      <c r="T61">
        <v>10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5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2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</row>
    <row r="62" spans="1:56" x14ac:dyDescent="0.3">
      <c r="A62" t="s">
        <v>112</v>
      </c>
      <c r="C62">
        <v>80</v>
      </c>
      <c r="D62">
        <v>10</v>
      </c>
      <c r="E62">
        <v>1.75</v>
      </c>
      <c r="G62">
        <v>70</v>
      </c>
      <c r="H62">
        <v>2.5</v>
      </c>
      <c r="I62">
        <v>13.25</v>
      </c>
      <c r="J62">
        <f t="shared" si="2"/>
        <v>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6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</row>
    <row r="63" spans="1:56" x14ac:dyDescent="0.3">
      <c r="A63" t="s">
        <v>113</v>
      </c>
      <c r="C63">
        <v>62</v>
      </c>
      <c r="D63">
        <v>10</v>
      </c>
      <c r="E63">
        <v>1.61</v>
      </c>
      <c r="G63">
        <v>6</v>
      </c>
      <c r="H63">
        <v>1.5</v>
      </c>
      <c r="I63">
        <v>13.75</v>
      </c>
      <c r="J63">
        <f t="shared" si="2"/>
        <v>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</v>
      </c>
      <c r="U63">
        <v>0</v>
      </c>
      <c r="V63">
        <v>0</v>
      </c>
      <c r="W63">
        <v>4</v>
      </c>
      <c r="X63">
        <v>0</v>
      </c>
      <c r="Y63">
        <v>0</v>
      </c>
      <c r="Z63">
        <v>1</v>
      </c>
      <c r="AA63">
        <v>0</v>
      </c>
      <c r="AB63">
        <v>2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4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Elliott</dc:creator>
  <cp:lastModifiedBy>Diana Borse</cp:lastModifiedBy>
  <dcterms:created xsi:type="dcterms:W3CDTF">2025-04-07T21:26:51Z</dcterms:created>
  <dcterms:modified xsi:type="dcterms:W3CDTF">2026-05-11T04:33:17Z</dcterms:modified>
</cp:coreProperties>
</file>